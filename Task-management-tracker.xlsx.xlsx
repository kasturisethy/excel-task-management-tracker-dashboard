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BE6691-4DC6-4EAD-ADF4-CC2C3195176E}" xr6:coauthVersionLast="43" xr6:coauthVersionMax="47" xr10:uidLastSave="{00000000-0000-0000-0000-000000000000}"/>
  <bookViews>
    <workbookView xWindow="-108" yWindow="-108" windowWidth="23256" windowHeight="12576" xr2:uid="{1A5F5666-BE82-F64F-A80E-7F153D5D7E43}"/>
  </bookViews>
  <sheets>
    <sheet name="Dashboard" sheetId="4" r:id="rId1"/>
    <sheet name="Support Sheet" sheetId="2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5" i="4" l="1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K3" i="2" l="1"/>
  <c r="I4" i="2"/>
  <c r="I5" i="2"/>
  <c r="I6" i="2"/>
  <c r="I3" i="2"/>
  <c r="F4" i="2"/>
  <c r="F5" i="2"/>
  <c r="F6" i="2"/>
  <c r="F7" i="2"/>
  <c r="F3" i="2"/>
  <c r="C3" i="2"/>
  <c r="C5" i="2"/>
  <c r="C4" i="2"/>
  <c r="C6" i="2" l="1"/>
</calcChain>
</file>

<file path=xl/sharedStrings.xml><?xml version="1.0" encoding="utf-8"?>
<sst xmlns="http://schemas.openxmlformats.org/spreadsheetml/2006/main" count="120" uniqueCount="71">
  <si>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</si>
  <si>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</si>
  <si>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</si>
  <si>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</si>
  <si>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</si>
  <si>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</si>
  <si>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</si>
  <si>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</si>
  <si>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</si>
  <si>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</si>
  <si>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</si>
  <si>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</si>
  <si>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</si>
  <si>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</si>
  <si>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</si>
  <si>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</si>
  <si>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</si>
  <si>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</si>
  <si>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</si>
  <si>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</si>
  <si>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</si>
  <si>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</si>
  <si>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</si>
  <si>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</si>
  <si>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</si>
  <si>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</si>
  <si>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</si>
  <si>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</si>
  <si>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</si>
  <si>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</si>
  <si>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</si>
  <si>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</si>
  <si>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</si>
  <si>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</si>
  <si>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</si>
  <si>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</si>
  <si>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</si>
  <si>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</si>
  <si>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</si>
  <si>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</si>
  <si>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</si>
  <si>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</si>
  <si>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</si>
  <si>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</si>
  <si>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</si>
  <si>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</si>
  <si>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</si>
  <si>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</si>
  <si>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</si>
  <si>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</si>
  <si>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</si>
  <si>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</si>
  <si>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</si>
  <si>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</si>
  <si>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</si>
  <si>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</si>
  <si>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</si>
  <si>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</si>
  <si>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</si>
  <si>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</si>
  <si>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</si>
  <si>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</si>
  <si>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</si>
  <si>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</si>
  <si>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</si>
  <si>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</si>
  <si>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</si>
  <si>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</si>
  <si>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</si>
  <si>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Team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</si>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</sst>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Days&quot;"/>
  </numFmts>
  <fonts count="7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">
    <cellStyle name="Hyperlink 2" xfId="3" xr:uid="{D116B123-67C6-344C-8E97-773FA34E970D}"/>
    <cellStyle name="Normal" xfId="0" builtinId="0"/>
    <cellStyle name="Normal 2" xfId="1" xr:uid="{A1221B63-1151-9945-AD17-D34A8F7994D7}"/>
    <cellStyle name="Normal 2 2" xfId="2" xr:uid="{6371BA46-78D2-CF43-B416-26A12EFA2F80}"/>
  </cellStyles>
  <dxfs count="11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&quot; Days&quot;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22577A"/>
      <color rgb="FFC7F9CC"/>
      <color rgb="FFC0E6F5"/>
      <color rgb="FF57CC99"/>
      <color rgb="FF80ED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# of Tasks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127751998146023"/>
          <c:y val="0.16101813110181312"/>
          <c:w val="0.73107703169547333"/>
          <c:h val="0.664644351464435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F-4AA9-9DB0-513FCCFF1C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88485888"/>
        <c:axId val="528951936"/>
      </c:barChart>
      <c:catAx>
        <c:axId val="38848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51936"/>
        <c:crosses val="autoZero"/>
        <c:auto val="1"/>
        <c:lblAlgn val="ctr"/>
        <c:lblOffset val="100"/>
        <c:noMultiLvlLbl val="0"/>
      </c:catAx>
      <c:valAx>
        <c:axId val="528951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84858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bg1"/>
                </a:solidFill>
              </a:rPr>
              <a:t># of Tasks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9907581251484"/>
          <c:y val="0.2113434657877068"/>
          <c:w val="0.82046041119860014"/>
          <c:h val="0.625467289719626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F-4B5E-94B1-AACDD6AFBC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3300280"/>
        <c:axId val="473293720"/>
      </c:barChart>
      <c:catAx>
        <c:axId val="47330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93720"/>
        <c:crosses val="autoZero"/>
        <c:auto val="1"/>
        <c:lblAlgn val="ctr"/>
        <c:lblOffset val="100"/>
        <c:noMultiLvlLbl val="0"/>
      </c:catAx>
      <c:valAx>
        <c:axId val="473293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33002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1</xdr:rowOff>
    </xdr:from>
    <xdr:to>
      <xdr:col>11</xdr:col>
      <xdr:colOff>243840</xdr:colOff>
      <xdr:row>2</xdr:row>
      <xdr:rowOff>167641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DD925E0B-BDD6-45E1-B56E-F23FE4511779}"/>
            </a:ext>
          </a:extLst>
        </xdr:cNvPr>
        <xdr:cNvSpPr/>
      </xdr:nvSpPr>
      <xdr:spPr>
        <a:xfrm>
          <a:off x="274320" y="1"/>
          <a:ext cx="13655040" cy="662940"/>
        </a:xfrm>
        <a:prstGeom prst="roundRect">
          <a:avLst>
            <a:gd name="adj" fmla="val 10985"/>
          </a:avLst>
        </a:prstGeom>
        <a:gradFill>
          <a:gsLst>
            <a:gs pos="49000">
              <a:srgbClr val="22577A"/>
            </a:gs>
            <a:gs pos="100000">
              <a:schemeClr val="accent5">
                <a:lumMod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800">
              <a:solidFill>
                <a:schemeClr val="bg1"/>
              </a:solidFill>
              <a:latin typeface="+mn-lt"/>
              <a:ea typeface="+mn-ea"/>
              <a:cs typeface="+mn-cs"/>
            </a:rPr>
            <a:t>TASK MANAGEMENT TRACKER</a:t>
          </a:r>
        </a:p>
      </xdr:txBody>
    </xdr:sp>
    <xdr:clientData/>
  </xdr:twoCellAnchor>
  <xdr:twoCellAnchor>
    <xdr:from>
      <xdr:col>0</xdr:col>
      <xdr:colOff>266700</xdr:colOff>
      <xdr:row>3</xdr:row>
      <xdr:rowOff>38100</xdr:rowOff>
    </xdr:from>
    <xdr:to>
      <xdr:col>2</xdr:col>
      <xdr:colOff>708660</xdr:colOff>
      <xdr:row>7</xdr:row>
      <xdr:rowOff>91440</xdr:rowOff>
    </xdr:to>
    <xdr:sp macro="" textlink="">
      <xdr:nvSpPr>
        <xdr:cNvPr id="3" name="Rounded Rectangle 14">
          <a:extLst>
            <a:ext uri="{FF2B5EF4-FFF2-40B4-BE49-F238E27FC236}">
              <a16:creationId xmlns:a16="http://schemas.microsoft.com/office/drawing/2014/main" id="{F5B1D332-7196-44B6-B070-9AE76A207135}"/>
            </a:ext>
          </a:extLst>
        </xdr:cNvPr>
        <xdr:cNvSpPr/>
      </xdr:nvSpPr>
      <xdr:spPr>
        <a:xfrm flipH="1">
          <a:off x="266700" y="723900"/>
          <a:ext cx="1432560" cy="815340"/>
        </a:xfrm>
        <a:prstGeom prst="roundRect">
          <a:avLst>
            <a:gd name="adj" fmla="val 10985"/>
          </a:avLst>
        </a:prstGeom>
        <a:gradFill>
          <a:gsLst>
            <a:gs pos="49000">
              <a:srgbClr val="22577A"/>
            </a:gs>
            <a:gs pos="100000">
              <a:schemeClr val="accent5">
                <a:lumMod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2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883920</xdr:colOff>
      <xdr:row>7</xdr:row>
      <xdr:rowOff>152400</xdr:rowOff>
    </xdr:from>
    <xdr:to>
      <xdr:col>2</xdr:col>
      <xdr:colOff>2316480</xdr:colOff>
      <xdr:row>12</xdr:row>
      <xdr:rowOff>15240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5EF235A6-2E4C-4D4E-BD61-C4C8002DF364}"/>
            </a:ext>
          </a:extLst>
        </xdr:cNvPr>
        <xdr:cNvSpPr/>
      </xdr:nvSpPr>
      <xdr:spPr>
        <a:xfrm flipH="1">
          <a:off x="1874520" y="1600200"/>
          <a:ext cx="1432560" cy="815340"/>
        </a:xfrm>
        <a:prstGeom prst="roundRect">
          <a:avLst>
            <a:gd name="adj" fmla="val 10985"/>
          </a:avLst>
        </a:prstGeom>
        <a:gradFill>
          <a:gsLst>
            <a:gs pos="49000">
              <a:srgbClr val="22577A"/>
            </a:gs>
            <a:gs pos="100000">
              <a:schemeClr val="accent5">
                <a:lumMod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2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883920</xdr:colOff>
      <xdr:row>3</xdr:row>
      <xdr:rowOff>38100</xdr:rowOff>
    </xdr:from>
    <xdr:to>
      <xdr:col>2</xdr:col>
      <xdr:colOff>2316480</xdr:colOff>
      <xdr:row>7</xdr:row>
      <xdr:rowOff>91440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86E613D9-A2A6-4571-AB69-1BC5036C25C7}"/>
            </a:ext>
          </a:extLst>
        </xdr:cNvPr>
        <xdr:cNvSpPr/>
      </xdr:nvSpPr>
      <xdr:spPr>
        <a:xfrm flipH="1">
          <a:off x="1874520" y="723900"/>
          <a:ext cx="1432560" cy="815340"/>
        </a:xfrm>
        <a:prstGeom prst="roundRect">
          <a:avLst>
            <a:gd name="adj" fmla="val 10985"/>
          </a:avLst>
        </a:prstGeom>
        <a:gradFill>
          <a:gsLst>
            <a:gs pos="49000">
              <a:srgbClr val="22577A"/>
            </a:gs>
            <a:gs pos="100000">
              <a:schemeClr val="accent5">
                <a:lumMod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2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243840</xdr:colOff>
      <xdr:row>7</xdr:row>
      <xdr:rowOff>175260</xdr:rowOff>
    </xdr:from>
    <xdr:to>
      <xdr:col>2</xdr:col>
      <xdr:colOff>685800</xdr:colOff>
      <xdr:row>12</xdr:row>
      <xdr:rowOff>38100</xdr:rowOff>
    </xdr:to>
    <xdr:sp macro="" textlink="">
      <xdr:nvSpPr>
        <xdr:cNvPr id="9" name="Rounded Rectangle 14">
          <a:extLst>
            <a:ext uri="{FF2B5EF4-FFF2-40B4-BE49-F238E27FC236}">
              <a16:creationId xmlns:a16="http://schemas.microsoft.com/office/drawing/2014/main" id="{D2A0A913-B980-4936-AC6D-37BEC7335DB2}"/>
            </a:ext>
          </a:extLst>
        </xdr:cNvPr>
        <xdr:cNvSpPr/>
      </xdr:nvSpPr>
      <xdr:spPr>
        <a:xfrm flipH="1">
          <a:off x="243840" y="1623060"/>
          <a:ext cx="1432560" cy="815340"/>
        </a:xfrm>
        <a:prstGeom prst="roundRect">
          <a:avLst>
            <a:gd name="adj" fmla="val 10985"/>
          </a:avLst>
        </a:prstGeom>
        <a:gradFill>
          <a:gsLst>
            <a:gs pos="49000">
              <a:srgbClr val="22577A"/>
            </a:gs>
            <a:gs pos="100000">
              <a:schemeClr val="accent5">
                <a:lumMod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2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53340</xdr:colOff>
      <xdr:row>3</xdr:row>
      <xdr:rowOff>38100</xdr:rowOff>
    </xdr:from>
    <xdr:to>
      <xdr:col>6</xdr:col>
      <xdr:colOff>822960</xdr:colOff>
      <xdr:row>11</xdr:row>
      <xdr:rowOff>182880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1767C4EC-8BCB-4D02-86DA-0BC1F185D7CC}"/>
            </a:ext>
          </a:extLst>
        </xdr:cNvPr>
        <xdr:cNvSpPr/>
      </xdr:nvSpPr>
      <xdr:spPr>
        <a:xfrm flipH="1">
          <a:off x="3459480" y="723900"/>
          <a:ext cx="3832860" cy="1668780"/>
        </a:xfrm>
        <a:prstGeom prst="roundRect">
          <a:avLst>
            <a:gd name="adj" fmla="val 10985"/>
          </a:avLst>
        </a:prstGeom>
        <a:solidFill>
          <a:schemeClr val="tx2">
            <a:lumMod val="90000"/>
            <a:lumOff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2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80923</xdr:colOff>
      <xdr:row>3</xdr:row>
      <xdr:rowOff>15240</xdr:rowOff>
    </xdr:from>
    <xdr:to>
      <xdr:col>10</xdr:col>
      <xdr:colOff>899159</xdr:colOff>
      <xdr:row>11</xdr:row>
      <xdr:rowOff>160020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92E9702B-205A-45DD-B58A-4A589441C7A0}"/>
            </a:ext>
          </a:extLst>
        </xdr:cNvPr>
        <xdr:cNvSpPr/>
      </xdr:nvSpPr>
      <xdr:spPr>
        <a:xfrm flipH="1">
          <a:off x="7487563" y="701040"/>
          <a:ext cx="3896716" cy="1668780"/>
        </a:xfrm>
        <a:prstGeom prst="roundRect">
          <a:avLst>
            <a:gd name="adj" fmla="val 10985"/>
          </a:avLst>
        </a:prstGeom>
        <a:solidFill>
          <a:schemeClr val="tx2">
            <a:lumMod val="90000"/>
            <a:lumOff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2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1120140</xdr:colOff>
      <xdr:row>3</xdr:row>
      <xdr:rowOff>99060</xdr:rowOff>
    </xdr:from>
    <xdr:to>
      <xdr:col>11</xdr:col>
      <xdr:colOff>251460</xdr:colOff>
      <xdr:row>11</xdr:row>
      <xdr:rowOff>175260</xdr:rowOff>
    </xdr:to>
    <xdr:sp macro="" textlink="">
      <xdr:nvSpPr>
        <xdr:cNvPr id="13" name="Rounded Rectangle 14">
          <a:extLst>
            <a:ext uri="{FF2B5EF4-FFF2-40B4-BE49-F238E27FC236}">
              <a16:creationId xmlns:a16="http://schemas.microsoft.com/office/drawing/2014/main" id="{7F20B6C7-E2B1-4786-8573-9AA3F71617AE}"/>
            </a:ext>
          </a:extLst>
        </xdr:cNvPr>
        <xdr:cNvSpPr/>
      </xdr:nvSpPr>
      <xdr:spPr>
        <a:xfrm flipH="1">
          <a:off x="11605260" y="784860"/>
          <a:ext cx="2331720" cy="1600200"/>
        </a:xfrm>
        <a:prstGeom prst="roundRect">
          <a:avLst>
            <a:gd name="adj" fmla="val 10985"/>
          </a:avLst>
        </a:prstGeom>
        <a:gradFill>
          <a:gsLst>
            <a:gs pos="49000">
              <a:srgbClr val="22577A"/>
            </a:gs>
            <a:gs pos="100000">
              <a:schemeClr val="accent5">
                <a:lumMod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2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45720</xdr:colOff>
      <xdr:row>3</xdr:row>
      <xdr:rowOff>30480</xdr:rowOff>
    </xdr:from>
    <xdr:to>
      <xdr:col>2</xdr:col>
      <xdr:colOff>601980</xdr:colOff>
      <xdr:row>4</xdr:row>
      <xdr:rowOff>121920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FF02C8-3AB2-4EB1-A981-1FFBB8F4B6CE}"/>
            </a:ext>
          </a:extLst>
        </xdr:cNvPr>
        <xdr:cNvSpPr txBox="1"/>
      </xdr:nvSpPr>
      <xdr:spPr>
        <a:xfrm>
          <a:off x="335280" y="716280"/>
          <a:ext cx="1257300" cy="28194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Completed</a:t>
          </a:r>
        </a:p>
      </xdr:txBody>
    </xdr:sp>
    <xdr:clientData/>
  </xdr:twoCellAnchor>
  <xdr:twoCellAnchor>
    <xdr:from>
      <xdr:col>1</xdr:col>
      <xdr:colOff>92774</xdr:colOff>
      <xdr:row>4</xdr:row>
      <xdr:rowOff>15240</xdr:rowOff>
    </xdr:from>
    <xdr:to>
      <xdr:col>2</xdr:col>
      <xdr:colOff>661607</xdr:colOff>
      <xdr:row>7</xdr:row>
      <xdr:rowOff>45720</xdr:rowOff>
    </xdr:to>
    <xdr:sp macro="" textlink="'Support Sheet'!C3">
      <xdr:nvSpPr>
        <xdr:cNvPr id="14" name="TextBox 13">
          <a:extLst>
            <a:ext uri="{FF2B5EF4-FFF2-40B4-BE49-F238E27FC236}">
              <a16:creationId xmlns:a16="http://schemas.microsoft.com/office/drawing/2014/main" id="{58168550-700D-4DD7-BE08-741F3467AD6D}"/>
            </a:ext>
          </a:extLst>
        </xdr:cNvPr>
        <xdr:cNvSpPr txBox="1"/>
      </xdr:nvSpPr>
      <xdr:spPr>
        <a:xfrm>
          <a:off x="382334" y="891540"/>
          <a:ext cx="1269873" cy="601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45B5C8A0-6A59-4C70-AE06-38A74F9622FF}" type="TxLink">
            <a:rPr lang="en-US" sz="4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7</a:t>
          </a:fld>
          <a:endParaRPr lang="en-US" sz="40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IN" sz="40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976694</xdr:colOff>
      <xdr:row>4</xdr:row>
      <xdr:rowOff>38100</xdr:rowOff>
    </xdr:from>
    <xdr:to>
      <xdr:col>2</xdr:col>
      <xdr:colOff>2246567</xdr:colOff>
      <xdr:row>7</xdr:row>
      <xdr:rowOff>68580</xdr:rowOff>
    </xdr:to>
    <xdr:sp macro="" textlink="'Support Sheet'!C5">
      <xdr:nvSpPr>
        <xdr:cNvPr id="15" name="TextBox 14">
          <a:extLst>
            <a:ext uri="{FF2B5EF4-FFF2-40B4-BE49-F238E27FC236}">
              <a16:creationId xmlns:a16="http://schemas.microsoft.com/office/drawing/2014/main" id="{07F5B7E8-AE05-4164-A959-AE8304D178CB}"/>
            </a:ext>
          </a:extLst>
        </xdr:cNvPr>
        <xdr:cNvSpPr txBox="1"/>
      </xdr:nvSpPr>
      <xdr:spPr>
        <a:xfrm>
          <a:off x="1967294" y="914400"/>
          <a:ext cx="1269873" cy="601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B927BCF-69AA-4F2F-A46C-5B4076270026}" type="TxLink">
            <a:rPr lang="en-US" sz="4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2</a:t>
          </a:fld>
          <a:endParaRPr lang="en-IN" sz="40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922020</xdr:colOff>
      <xdr:row>3</xdr:row>
      <xdr:rowOff>7620</xdr:rowOff>
    </xdr:from>
    <xdr:to>
      <xdr:col>2</xdr:col>
      <xdr:colOff>2179320</xdr:colOff>
      <xdr:row>4</xdr:row>
      <xdr:rowOff>99060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D2B162A-51B1-4591-9FCA-75F43BCFE7A0}"/>
            </a:ext>
          </a:extLst>
        </xdr:cNvPr>
        <xdr:cNvSpPr txBox="1"/>
      </xdr:nvSpPr>
      <xdr:spPr>
        <a:xfrm>
          <a:off x="1912620" y="693420"/>
          <a:ext cx="1257300" cy="28194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Not</a:t>
          </a:r>
          <a:r>
            <a:rPr lang="en-IN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Started</a:t>
          </a:r>
          <a:endParaRPr lang="en-IN" sz="1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7</xdr:row>
      <xdr:rowOff>175260</xdr:rowOff>
    </xdr:from>
    <xdr:to>
      <xdr:col>2</xdr:col>
      <xdr:colOff>556260</xdr:colOff>
      <xdr:row>9</xdr:row>
      <xdr:rowOff>76200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5B7193B-7518-4F27-A68F-E894E14FF1A2}"/>
            </a:ext>
          </a:extLst>
        </xdr:cNvPr>
        <xdr:cNvSpPr txBox="1"/>
      </xdr:nvSpPr>
      <xdr:spPr>
        <a:xfrm>
          <a:off x="289560" y="1623060"/>
          <a:ext cx="1257300" cy="28194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In</a:t>
          </a:r>
          <a:r>
            <a:rPr lang="en-IN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progress</a:t>
          </a:r>
          <a:endParaRPr lang="en-IN" sz="1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39434</xdr:colOff>
      <xdr:row>8</xdr:row>
      <xdr:rowOff>182880</xdr:rowOff>
    </xdr:from>
    <xdr:to>
      <xdr:col>2</xdr:col>
      <xdr:colOff>608267</xdr:colOff>
      <xdr:row>12</xdr:row>
      <xdr:rowOff>22860</xdr:rowOff>
    </xdr:to>
    <xdr:sp macro="" textlink="'Support Sheet'!C4">
      <xdr:nvSpPr>
        <xdr:cNvPr id="18" name="TextBox 17">
          <a:extLst>
            <a:ext uri="{FF2B5EF4-FFF2-40B4-BE49-F238E27FC236}">
              <a16:creationId xmlns:a16="http://schemas.microsoft.com/office/drawing/2014/main" id="{DDBCF404-0D7D-4049-A78F-93C1E9C61BF1}"/>
            </a:ext>
          </a:extLst>
        </xdr:cNvPr>
        <xdr:cNvSpPr txBox="1"/>
      </xdr:nvSpPr>
      <xdr:spPr>
        <a:xfrm>
          <a:off x="328994" y="1821180"/>
          <a:ext cx="1269873" cy="601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019001D-E988-4271-82A5-E4D833107841}" type="TxLink">
            <a:rPr lang="en-US" sz="4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6</a:t>
          </a:fld>
          <a:endParaRPr lang="en-IN" sz="40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946214</xdr:colOff>
      <xdr:row>8</xdr:row>
      <xdr:rowOff>144780</xdr:rowOff>
    </xdr:from>
    <xdr:to>
      <xdr:col>2</xdr:col>
      <xdr:colOff>2216087</xdr:colOff>
      <xdr:row>11</xdr:row>
      <xdr:rowOff>175260</xdr:rowOff>
    </xdr:to>
    <xdr:sp macro="" textlink="'Support Sheet'!C6">
      <xdr:nvSpPr>
        <xdr:cNvPr id="19" name="TextBox 18">
          <a:extLst>
            <a:ext uri="{FF2B5EF4-FFF2-40B4-BE49-F238E27FC236}">
              <a16:creationId xmlns:a16="http://schemas.microsoft.com/office/drawing/2014/main" id="{687746E3-817E-4D6D-A4E9-B524B8BF8570}"/>
            </a:ext>
          </a:extLst>
        </xdr:cNvPr>
        <xdr:cNvSpPr txBox="1"/>
      </xdr:nvSpPr>
      <xdr:spPr>
        <a:xfrm>
          <a:off x="1936814" y="1783080"/>
          <a:ext cx="1269873" cy="601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23E2E3EA-AB3B-42A4-83C8-4DD5E9E33772}" type="TxLink">
            <a:rPr lang="en-US" sz="4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15</a:t>
          </a:fld>
          <a:endParaRPr lang="en-IN" sz="40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975360</xdr:colOff>
      <xdr:row>7</xdr:row>
      <xdr:rowOff>160020</xdr:rowOff>
    </xdr:from>
    <xdr:to>
      <xdr:col>2</xdr:col>
      <xdr:colOff>2232660</xdr:colOff>
      <xdr:row>9</xdr:row>
      <xdr:rowOff>60960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4AA4160-098B-42BE-8911-296CEC825B0E}"/>
            </a:ext>
          </a:extLst>
        </xdr:cNvPr>
        <xdr:cNvSpPr txBox="1"/>
      </xdr:nvSpPr>
      <xdr:spPr>
        <a:xfrm>
          <a:off x="1965960" y="1607820"/>
          <a:ext cx="1257300" cy="28194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Total</a:t>
          </a:r>
          <a:r>
            <a:rPr lang="en-IN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Tasks</a:t>
          </a:r>
          <a:endParaRPr lang="en-IN" sz="1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91440</xdr:colOff>
      <xdr:row>3</xdr:row>
      <xdr:rowOff>38100</xdr:rowOff>
    </xdr:from>
    <xdr:to>
      <xdr:col>6</xdr:col>
      <xdr:colOff>739140</xdr:colOff>
      <xdr:row>12</xdr:row>
      <xdr:rowOff>144780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A49128A-14CE-41EF-B0D9-E935DDCF1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65684</xdr:colOff>
      <xdr:row>3</xdr:row>
      <xdr:rowOff>7620</xdr:rowOff>
    </xdr:from>
    <xdr:to>
      <xdr:col>10</xdr:col>
      <xdr:colOff>830580</xdr:colOff>
      <xdr:row>11</xdr:row>
      <xdr:rowOff>121920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8D11367-48BA-42A0-9FE8-0F20352C9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1654874</xdr:colOff>
      <xdr:row>5</xdr:row>
      <xdr:rowOff>160020</xdr:rowOff>
    </xdr:from>
    <xdr:to>
      <xdr:col>10</xdr:col>
      <xdr:colOff>2924747</xdr:colOff>
      <xdr:row>10</xdr:row>
      <xdr:rowOff>121920</xdr:rowOff>
    </xdr:to>
    <xdr:sp macro="" textlink="'Support Sheet'!K3">
      <xdr:nvSpPr>
        <xdr:cNvPr id="23" name="TextBox 22">
          <a:extLst>
            <a:ext uri="{FF2B5EF4-FFF2-40B4-BE49-F238E27FC236}">
              <a16:creationId xmlns:a16="http://schemas.microsoft.com/office/drawing/2014/main" id="{E2AC9DCC-4F4E-424F-AA75-AA4B9CCDD44A}"/>
            </a:ext>
          </a:extLst>
        </xdr:cNvPr>
        <xdr:cNvSpPr txBox="1"/>
      </xdr:nvSpPr>
      <xdr:spPr>
        <a:xfrm>
          <a:off x="12139994" y="1226820"/>
          <a:ext cx="1269873" cy="9144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339FF198-F65E-4831-8B86-0FDE158C0C44}" type="TxLink">
            <a:rPr lang="en-US" sz="54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2</a:t>
          </a:fld>
          <a:endParaRPr lang="en-IN" sz="5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1318260</xdr:colOff>
      <xdr:row>3</xdr:row>
      <xdr:rowOff>167640</xdr:rowOff>
    </xdr:from>
    <xdr:to>
      <xdr:col>10</xdr:col>
      <xdr:colOff>3154680</xdr:colOff>
      <xdr:row>6</xdr:row>
      <xdr:rowOff>76200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93AF338-2616-41F2-91EC-727472C61370}"/>
            </a:ext>
          </a:extLst>
        </xdr:cNvPr>
        <xdr:cNvSpPr txBox="1"/>
      </xdr:nvSpPr>
      <xdr:spPr>
        <a:xfrm>
          <a:off x="11803380" y="853440"/>
          <a:ext cx="1836420" cy="48006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bg1"/>
              </a:solidFill>
              <a:latin typeface="+mn-lt"/>
              <a:ea typeface="+mn-ea"/>
              <a:cs typeface="+mn-cs"/>
            </a:rPr>
            <a:t>Overdue</a:t>
          </a:r>
          <a:r>
            <a:rPr lang="en-IN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</a:t>
          </a:r>
          <a:r>
            <a:rPr lang="en-IN" sz="2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Tasks</a:t>
          </a:r>
          <a:endParaRPr lang="en-IN" sz="1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209322</xdr:colOff>
      <xdr:row>8</xdr:row>
      <xdr:rowOff>129383</xdr:rowOff>
    </xdr:from>
    <xdr:to>
      <xdr:col>2</xdr:col>
      <xdr:colOff>233877</xdr:colOff>
      <xdr:row>14</xdr:row>
      <xdr:rowOff>19213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B906DE83-1341-469D-B7C2-FAEBEEFF31D1}"/>
            </a:ext>
          </a:extLst>
        </xdr:cNvPr>
        <xdr:cNvSpPr/>
      </xdr:nvSpPr>
      <xdr:spPr>
        <a:xfrm>
          <a:off x="209322" y="1719644"/>
          <a:ext cx="1131112" cy="1082526"/>
        </a:xfrm>
        <a:prstGeom prst="roundRect">
          <a:avLst>
            <a:gd name="adj" fmla="val 10985"/>
          </a:avLst>
        </a:prstGeom>
        <a:gradFill>
          <a:gsLst>
            <a:gs pos="49000">
              <a:srgbClr val="22577A"/>
            </a:gs>
            <a:gs pos="100000">
              <a:schemeClr val="accent5">
                <a:lumMod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91FCC-99CF-4A14-8576-C837A5F181CB}" name="Table1" displayName="Table1" ref="B14:K30" totalsRowShown="0" headerRowDxfId="6" headerRowCellStyle="Normal 2">
  <autoFilter ref="B14:K30" xr:uid="{9CBFF2F3-5973-4C01-94FC-91BBEACAA9BA}"/>
  <tableColumns count="10">
    <tableColumn id="1" xr3:uid="{54EC9306-E9E1-47C4-984F-34DA2FE04C07}" name="Task ID" dataDxfId="5"/>
    <tableColumn id="2" xr3:uid="{242D55D3-88F2-45B8-8425-26D6ACB3E474}" name="Task Name"/>
    <tableColumn id="3" xr3:uid="{F880FC24-53BD-4740-9AD8-FB50147AF207}" name="Team"/>
    <tableColumn id="4" xr3:uid="{A8D99F96-A06B-49C1-A178-5B2A61F3EDEF}" name="Task Owner"/>
    <tableColumn id="5" xr3:uid="{992A148E-83DF-4A9F-ABF7-D523ACF7F6AC}" name="Start Date" dataDxfId="4"/>
    <tableColumn id="6" xr3:uid="{69C7A2DB-13E3-4814-83CB-E24EDE29DAA7}" name="Due Date" dataDxfId="3"/>
    <tableColumn id="7" xr3:uid="{8E087980-5505-4F3D-B2CF-7E8E593E02F8}" name="Task Duration" dataDxfId="2">
      <calculatedColumnFormula>Table1[[#This Row],[Due Date]]-Table1[[#This Row],[Start Date]]</calculatedColumnFormula>
    </tableColumn>
    <tableColumn id="8" xr3:uid="{D345BB29-1D65-4594-9F7A-57D71CE5B58B}" name="Status" dataDxfId="1"/>
    <tableColumn id="9" xr3:uid="{2A51B1D4-B51B-41DC-BB2D-C84C1D7A9DBD}" name="Overdue?" dataDxfId="0">
      <calculatedColumnFormula>AND(Table1[[#This Row],[Status]]&lt;&gt;"Completed",Table1[[#This Row],[Due Date]]&lt;TODAY())</calculatedColumnFormula>
    </tableColumn>
    <tableColumn id="10" xr3:uid="{D1262025-1CAB-4011-BBDB-08A1D9AC870C}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:K30"/>
  <sheetViews>
    <sheetView showGridLines="0" tabSelected="1" zoomScaleNormal="100" workbookViewId="0">
      <pane ySplit="14" topLeftCell="A15" activePane="bottomLeft" state="frozen"/>
      <selection pane="bottomLeft" activeCell="I26" sqref="I26"/>
    </sheetView>
  </sheetViews>
  <sheetFormatPr defaultColWidth="11.1796875" defaultRowHeight="15"/>
  <cols>
    <col min="1" max="1" width="3.453125" customWidth="1"/>
    <col min="2" max="2" width="8.36328125" style="1" customWidth="1"/>
    <col min="3" max="3" width="28.81640625" customWidth="1"/>
    <col min="5" max="5" width="14.1796875" bestFit="1" customWidth="1"/>
    <col min="8" max="8" width="13.36328125" customWidth="1"/>
    <col min="9" max="9" width="12.1796875" style="1" customWidth="1"/>
    <col min="11" max="11" width="38.1796875" customWidth="1"/>
  </cols>
  <sheetData>
    <row r="1" spans="2:11" ht="24" customHeight="1"/>
    <row r="14" spans="2:11">
      <c r="B14" s="4" t="s">
        <v>1</v>
      </c>
      <c r="C14" s="4" t="s">
        <v>0</v>
      </c>
      <c r="D14" s="4" t="s">
        <v>69</v>
      </c>
      <c r="E14" s="4" t="s">
        <v>6</v>
      </c>
      <c r="F14" s="4" t="s">
        <v>2</v>
      </c>
      <c r="G14" s="4" t="s">
        <v>3</v>
      </c>
      <c r="H14" s="4" t="s">
        <v>11</v>
      </c>
      <c r="I14" s="4" t="s">
        <v>4</v>
      </c>
      <c r="J14" s="4" t="s">
        <v>5</v>
      </c>
      <c r="K14" s="4" t="s">
        <v>7</v>
      </c>
    </row>
    <row r="15" spans="2:11">
      <c r="B15" s="1" t="s">
        <v>13</v>
      </c>
      <c r="C15" t="s">
        <v>14</v>
      </c>
      <c r="D15" t="s">
        <v>65</v>
      </c>
      <c r="E15" t="s">
        <v>15</v>
      </c>
      <c r="F15" s="2">
        <v>46083</v>
      </c>
      <c r="G15" s="2">
        <v>46132</v>
      </c>
      <c r="H15" s="6">
        <f>Table1[[#This Row],[Due Date]]-Table1[[#This Row],[Start Date]]</f>
        <v>49</v>
      </c>
      <c r="I15" s="1" t="s">
        <v>16</v>
      </c>
      <c r="J15" s="1" t="b">
        <f ca="1">AND(Table1[[#This Row],[Status]]&lt;&gt;"Completed",Table1[[#This Row],[Due Date]]&lt;TODAY())</f>
        <v>0</v>
      </c>
      <c r="K15" t="s">
        <v>17</v>
      </c>
    </row>
    <row r="16" spans="2:11">
      <c r="B16" s="1" t="s">
        <v>18</v>
      </c>
      <c r="C16" t="s">
        <v>62</v>
      </c>
      <c r="D16" t="s">
        <v>57</v>
      </c>
      <c r="E16" t="s">
        <v>15</v>
      </c>
      <c r="F16" s="2">
        <v>46067</v>
      </c>
      <c r="G16" s="2">
        <v>46076</v>
      </c>
      <c r="H16" s="6">
        <f>Table1[[#This Row],[Due Date]]-Table1[[#This Row],[Start Date]]</f>
        <v>9</v>
      </c>
      <c r="I16" s="1" t="s">
        <v>16</v>
      </c>
      <c r="J16" s="1" t="b">
        <f ca="1">AND(Table1[[#This Row],[Status]]&lt;&gt;"Completed",Table1[[#This Row],[Due Date]]&lt;TODAY())</f>
        <v>0</v>
      </c>
      <c r="K16" t="s">
        <v>20</v>
      </c>
    </row>
    <row r="17" spans="2:11">
      <c r="B17" s="1" t="s">
        <v>21</v>
      </c>
      <c r="C17" t="s">
        <v>22</v>
      </c>
      <c r="D17" t="s">
        <v>57</v>
      </c>
      <c r="E17" t="s">
        <v>19</v>
      </c>
      <c r="F17" s="2">
        <v>46122</v>
      </c>
      <c r="G17" s="2">
        <v>46132</v>
      </c>
      <c r="H17" s="6">
        <f>Table1[[#This Row],[Due Date]]-Table1[[#This Row],[Start Date]]</f>
        <v>10</v>
      </c>
      <c r="I17" s="1" t="s">
        <v>8</v>
      </c>
      <c r="J17" s="1" t="b">
        <f ca="1">AND(Table1[[#This Row],[Status]]&lt;&gt;"Completed",Table1[[#This Row],[Due Date]]&lt;TODAY())</f>
        <v>1</v>
      </c>
      <c r="K17" t="s">
        <v>23</v>
      </c>
    </row>
    <row r="18" spans="2:11">
      <c r="B18" s="1" t="s">
        <v>24</v>
      </c>
      <c r="C18" t="s">
        <v>25</v>
      </c>
      <c r="D18" t="s">
        <v>65</v>
      </c>
      <c r="E18" t="s">
        <v>15</v>
      </c>
      <c r="F18" s="2">
        <v>46124</v>
      </c>
      <c r="G18" s="2">
        <v>46142</v>
      </c>
      <c r="H18" s="6">
        <f>Table1[[#This Row],[Due Date]]-Table1[[#This Row],[Start Date]]</f>
        <v>18</v>
      </c>
      <c r="I18" s="1" t="s">
        <v>16</v>
      </c>
      <c r="J18" s="1" t="b">
        <f ca="1">AND(Table1[[#This Row],[Status]]&lt;&gt;"Completed",Table1[[#This Row],[Due Date]]&lt;TODAY())</f>
        <v>0</v>
      </c>
      <c r="K18" t="s">
        <v>27</v>
      </c>
    </row>
    <row r="19" spans="2:11">
      <c r="B19" s="1" t="s">
        <v>28</v>
      </c>
      <c r="C19" t="s">
        <v>29</v>
      </c>
      <c r="D19" t="s">
        <v>57</v>
      </c>
      <c r="E19" t="s">
        <v>26</v>
      </c>
      <c r="F19" s="2">
        <v>46280</v>
      </c>
      <c r="G19" s="2">
        <v>46305</v>
      </c>
      <c r="H19" s="6">
        <f>Table1[[#This Row],[Due Date]]-Table1[[#This Row],[Start Date]]</f>
        <v>25</v>
      </c>
      <c r="I19" s="1" t="s">
        <v>8</v>
      </c>
      <c r="J19" s="1" t="b">
        <f ca="1">AND(Table1[[#This Row],[Status]]&lt;&gt;"Completed",Table1[[#This Row],[Due Date]]&lt;TODAY())</f>
        <v>0</v>
      </c>
      <c r="K19" t="s">
        <v>31</v>
      </c>
    </row>
    <row r="20" spans="2:11">
      <c r="B20" s="1" t="s">
        <v>32</v>
      </c>
      <c r="C20" t="s">
        <v>33</v>
      </c>
      <c r="D20" t="s">
        <v>66</v>
      </c>
      <c r="E20" t="s">
        <v>19</v>
      </c>
      <c r="F20" s="2">
        <v>46283</v>
      </c>
      <c r="G20" s="2">
        <v>46310</v>
      </c>
      <c r="H20" s="6">
        <f>Table1[[#This Row],[Due Date]]-Table1[[#This Row],[Start Date]]</f>
        <v>27</v>
      </c>
      <c r="I20" s="1" t="s">
        <v>8</v>
      </c>
      <c r="J20" s="1" t="b">
        <f ca="1">AND(Table1[[#This Row],[Status]]&lt;&gt;"Completed",Table1[[#This Row],[Due Date]]&lt;TODAY())</f>
        <v>0</v>
      </c>
      <c r="K20" t="s">
        <v>35</v>
      </c>
    </row>
    <row r="21" spans="2:11">
      <c r="B21" s="1" t="s">
        <v>36</v>
      </c>
      <c r="C21" t="s">
        <v>63</v>
      </c>
      <c r="D21" t="s">
        <v>66</v>
      </c>
      <c r="E21" t="s">
        <v>30</v>
      </c>
      <c r="F21" s="2">
        <v>46114</v>
      </c>
      <c r="G21" s="2">
        <v>46127</v>
      </c>
      <c r="H21" s="6">
        <f>Table1[[#This Row],[Due Date]]-Table1[[#This Row],[Start Date]]</f>
        <v>13</v>
      </c>
      <c r="I21" s="1" t="s">
        <v>9</v>
      </c>
      <c r="J21" s="1" t="b">
        <f ca="1">AND(Table1[[#This Row],[Status]]&lt;&gt;"Completed",Table1[[#This Row],[Due Date]]&lt;TODAY())</f>
        <v>1</v>
      </c>
      <c r="K21" t="s">
        <v>37</v>
      </c>
    </row>
    <row r="22" spans="2:11">
      <c r="B22" s="1" t="s">
        <v>38</v>
      </c>
      <c r="C22" t="s">
        <v>39</v>
      </c>
      <c r="D22" t="s">
        <v>40</v>
      </c>
      <c r="E22" t="s">
        <v>30</v>
      </c>
      <c r="F22" s="2">
        <v>46287</v>
      </c>
      <c r="G22" s="2">
        <v>46307</v>
      </c>
      <c r="H22" s="6">
        <f>Table1[[#This Row],[Due Date]]-Table1[[#This Row],[Start Date]]</f>
        <v>20</v>
      </c>
      <c r="I22" s="1" t="s">
        <v>8</v>
      </c>
      <c r="J22" s="1" t="b">
        <f ca="1">AND(Table1[[#This Row],[Status]]&lt;&gt;"Completed",Table1[[#This Row],[Due Date]]&lt;TODAY())</f>
        <v>0</v>
      </c>
      <c r="K22" t="s">
        <v>41</v>
      </c>
    </row>
    <row r="23" spans="2:11">
      <c r="B23" s="1" t="s">
        <v>42</v>
      </c>
      <c r="C23" t="s">
        <v>43</v>
      </c>
      <c r="D23" t="s">
        <v>66</v>
      </c>
      <c r="E23" t="s">
        <v>15</v>
      </c>
      <c r="F23" s="2">
        <v>46288</v>
      </c>
      <c r="G23" s="2">
        <v>46315</v>
      </c>
      <c r="H23" s="6">
        <f>Table1[[#This Row],[Due Date]]-Table1[[#This Row],[Start Date]]</f>
        <v>27</v>
      </c>
      <c r="I23" s="1" t="s">
        <v>16</v>
      </c>
      <c r="J23" s="1" t="b">
        <f ca="1">AND(Table1[[#This Row],[Status]]&lt;&gt;"Completed",Table1[[#This Row],[Due Date]]&lt;TODAY())</f>
        <v>0</v>
      </c>
      <c r="K23" t="s">
        <v>44</v>
      </c>
    </row>
    <row r="24" spans="2:11">
      <c r="B24" s="1" t="s">
        <v>45</v>
      </c>
      <c r="C24" t="s">
        <v>64</v>
      </c>
      <c r="D24" t="s">
        <v>66</v>
      </c>
      <c r="E24" t="s">
        <v>15</v>
      </c>
      <c r="F24" s="2">
        <v>46289</v>
      </c>
      <c r="G24" s="2">
        <v>46300</v>
      </c>
      <c r="H24" s="6">
        <f>Table1[[#This Row],[Due Date]]-Table1[[#This Row],[Start Date]]</f>
        <v>11</v>
      </c>
      <c r="I24" s="1" t="s">
        <v>8</v>
      </c>
      <c r="J24" s="1" t="b">
        <f ca="1">AND(Table1[[#This Row],[Status]]&lt;&gt;"Completed",Table1[[#This Row],[Due Date]]&lt;TODAY())</f>
        <v>0</v>
      </c>
      <c r="K24" t="s">
        <v>46</v>
      </c>
    </row>
    <row r="25" spans="2:11">
      <c r="B25" s="1" t="s">
        <v>47</v>
      </c>
      <c r="C25" t="s">
        <v>48</v>
      </c>
      <c r="D25" t="s">
        <v>65</v>
      </c>
      <c r="E25" t="s">
        <v>19</v>
      </c>
      <c r="F25" s="2">
        <v>46290</v>
      </c>
      <c r="G25" s="2">
        <v>46297</v>
      </c>
      <c r="H25" s="6">
        <f>Table1[[#This Row],[Due Date]]-Table1[[#This Row],[Start Date]]</f>
        <v>7</v>
      </c>
      <c r="I25" s="1" t="s">
        <v>16</v>
      </c>
      <c r="J25" s="1" t="b">
        <f ca="1">AND(Table1[[#This Row],[Status]]&lt;&gt;"Completed",Table1[[#This Row],[Due Date]]&lt;TODAY())</f>
        <v>0</v>
      </c>
      <c r="K25" t="s">
        <v>49</v>
      </c>
    </row>
    <row r="26" spans="2:11">
      <c r="B26" s="1" t="s">
        <v>50</v>
      </c>
      <c r="C26" t="s">
        <v>67</v>
      </c>
      <c r="D26" s="3" t="s">
        <v>57</v>
      </c>
      <c r="E26" t="s">
        <v>15</v>
      </c>
      <c r="F26" s="2">
        <v>46291</v>
      </c>
      <c r="G26" s="2">
        <v>46325</v>
      </c>
      <c r="H26" s="6">
        <f>Table1[[#This Row],[Due Date]]-Table1[[#This Row],[Start Date]]</f>
        <v>34</v>
      </c>
      <c r="I26" s="1" t="s">
        <v>16</v>
      </c>
      <c r="J26" s="1" t="b">
        <f ca="1">AND(Table1[[#This Row],[Status]]&lt;&gt;"Completed",Table1[[#This Row],[Due Date]]&lt;TODAY())</f>
        <v>0</v>
      </c>
      <c r="K26" t="s">
        <v>51</v>
      </c>
    </row>
    <row r="27" spans="2:11">
      <c r="B27" s="1" t="s">
        <v>52</v>
      </c>
      <c r="C27" t="s">
        <v>53</v>
      </c>
      <c r="D27" s="3" t="s">
        <v>57</v>
      </c>
      <c r="E27" t="s">
        <v>34</v>
      </c>
      <c r="F27" s="2">
        <v>46292</v>
      </c>
      <c r="G27" s="2">
        <v>46302</v>
      </c>
      <c r="H27" s="6">
        <f>Table1[[#This Row],[Due Date]]-Table1[[#This Row],[Start Date]]</f>
        <v>10</v>
      </c>
      <c r="I27" s="1" t="s">
        <v>8</v>
      </c>
      <c r="J27" s="1" t="b">
        <f ca="1">AND(Table1[[#This Row],[Status]]&lt;&gt;"Completed",Table1[[#This Row],[Due Date]]&lt;TODAY())</f>
        <v>0</v>
      </c>
      <c r="K27" t="s">
        <v>54</v>
      </c>
    </row>
    <row r="28" spans="2:11">
      <c r="B28" s="1" t="s">
        <v>55</v>
      </c>
      <c r="C28" t="s">
        <v>56</v>
      </c>
      <c r="D28" t="s">
        <v>57</v>
      </c>
      <c r="E28" t="s">
        <v>34</v>
      </c>
      <c r="F28" s="2">
        <v>46293</v>
      </c>
      <c r="G28" s="2">
        <v>46313</v>
      </c>
      <c r="H28" s="6">
        <f>Table1[[#This Row],[Due Date]]-Table1[[#This Row],[Start Date]]</f>
        <v>20</v>
      </c>
      <c r="I28" s="1" t="s">
        <v>16</v>
      </c>
      <c r="J28" s="1" t="b">
        <f ca="1">AND(Table1[[#This Row],[Status]]&lt;&gt;"Completed",Table1[[#This Row],[Due Date]]&lt;TODAY())</f>
        <v>0</v>
      </c>
      <c r="K28" t="s">
        <v>58</v>
      </c>
    </row>
    <row r="29" spans="2:11">
      <c r="B29" s="1" t="s">
        <v>59</v>
      </c>
      <c r="C29" t="s">
        <v>60</v>
      </c>
      <c r="D29" t="s">
        <v>65</v>
      </c>
      <c r="E29" t="s">
        <v>34</v>
      </c>
      <c r="F29" s="2">
        <v>46294</v>
      </c>
      <c r="G29" s="2">
        <v>46299</v>
      </c>
      <c r="H29" s="6">
        <f>Table1[[#This Row],[Due Date]]-Table1[[#This Row],[Start Date]]</f>
        <v>5</v>
      </c>
      <c r="I29" s="1" t="s">
        <v>9</v>
      </c>
      <c r="J29" s="1" t="b">
        <f ca="1">AND(Table1[[#This Row],[Status]]&lt;&gt;"Completed",Table1[[#This Row],[Due Date]]&lt;TODAY())</f>
        <v>0</v>
      </c>
      <c r="K29" t="s">
        <v>61</v>
      </c>
    </row>
    <row r="30" spans="2:11">
      <c r="F30" s="2"/>
      <c r="G30" s="2"/>
      <c r="H30" s="6"/>
      <c r="J30" s="7"/>
    </row>
  </sheetData>
  <conditionalFormatting sqref="I15:I29">
    <cfRule type="cellIs" dxfId="10" priority="4" operator="equal">
      <formula>"Completed"</formula>
    </cfRule>
    <cfRule type="cellIs" dxfId="9" priority="3" operator="equal">
      <formula>"In Progress"</formula>
    </cfRule>
    <cfRule type="cellIs" dxfId="8" priority="2" operator="equal">
      <formula>"Not Started"</formula>
    </cfRule>
  </conditionalFormatting>
  <conditionalFormatting sqref="J15:J29">
    <cfRule type="cellIs" dxfId="7" priority="1" operator="equal">
      <formula>TRUE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6B98185-733C-4712-8D45-AC081A3BE16E}">
          <x14:formula1>
            <xm:f>'Support Sheet'!$H$3:$H$6</xm:f>
          </x14:formula1>
          <xm:sqref>D15:D30</xm:sqref>
        </x14:dataValidation>
        <x14:dataValidation type="list" allowBlank="1" showInputMessage="1" showErrorMessage="1" xr:uid="{1BDB4A25-C577-4130-9A30-50019D87B404}">
          <x14:formula1>
            <xm:f>'Support Sheet'!$B$3:$B$6</xm:f>
          </x14:formula1>
          <xm:sqref>I15:I30</xm:sqref>
        </x14:dataValidation>
        <x14:dataValidation type="list" allowBlank="1" showInputMessage="1" showErrorMessage="1" xr:uid="{D002504A-164C-4967-B149-D28A180A8A55}">
          <x14:formula1>
            <xm:f>'Support Sheet'!$E$3:$E$7</xm:f>
          </x14:formula1>
          <xm:sqref>E15:E30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zoomScale="115" zoomScaleNormal="115" workbookViewId="0">
      <selection activeCell="K4" sqref="K4"/>
    </sheetView>
  </sheetViews>
  <sheetFormatPr defaultColWidth="11.1796875" defaultRowHeight="15"/>
  <cols>
    <col min="1" max="1" width="3.36328125" customWidth="1"/>
    <col min="3" max="3" width="8.1796875" bestFit="1" customWidth="1"/>
    <col min="4" max="4" width="7.81640625" customWidth="1"/>
    <col min="5" max="5" width="14.1796875" bestFit="1" customWidth="1"/>
    <col min="6" max="6" width="6.1796875" style="1" bestFit="1" customWidth="1"/>
    <col min="7" max="7" width="7.81640625" customWidth="1"/>
    <col min="9" max="9" width="6.1796875" bestFit="1" customWidth="1"/>
    <col min="10" max="10" width="7.81640625" customWidth="1"/>
    <col min="11" max="11" width="8" bestFit="1" customWidth="1"/>
  </cols>
  <sheetData>
    <row r="2" spans="2:11" ht="15.6">
      <c r="B2" s="5" t="s">
        <v>4</v>
      </c>
      <c r="C2" s="5" t="s">
        <v>68</v>
      </c>
      <c r="E2" s="5" t="s">
        <v>10</v>
      </c>
      <c r="F2" s="5" t="s">
        <v>68</v>
      </c>
      <c r="H2" s="5" t="s">
        <v>69</v>
      </c>
      <c r="I2" s="5" t="s">
        <v>68</v>
      </c>
      <c r="K2" s="5" t="s">
        <v>12</v>
      </c>
    </row>
    <row r="3" spans="2:11">
      <c r="B3" t="s">
        <v>16</v>
      </c>
      <c r="C3" s="1">
        <f>COUNTIF(Table1[Status],'Support Sheet'!B3)</f>
        <v>7</v>
      </c>
      <c r="E3" t="s">
        <v>15</v>
      </c>
      <c r="F3" s="1">
        <f>COUNTIF(Table1[Task Owner],'Support Sheet'!E3)</f>
        <v>6</v>
      </c>
      <c r="H3" t="s">
        <v>65</v>
      </c>
      <c r="I3" s="1">
        <f>COUNTIF(Table1[Team],'Support Sheet'!H3)</f>
        <v>4</v>
      </c>
      <c r="K3" s="1">
        <f ca="1">COUNTIF(Table1[Overdue?],TRUE)</f>
        <v>2</v>
      </c>
    </row>
    <row r="4" spans="2:11">
      <c r="B4" t="s">
        <v>8</v>
      </c>
      <c r="C4" s="1">
        <f>COUNTIF(Table1[Status],'Support Sheet'!B4)</f>
        <v>6</v>
      </c>
      <c r="E4" t="s">
        <v>19</v>
      </c>
      <c r="F4" s="1">
        <f>COUNTIF(Table1[Task Owner],'Support Sheet'!E4)</f>
        <v>3</v>
      </c>
      <c r="H4" t="s">
        <v>57</v>
      </c>
      <c r="I4" s="1">
        <f>COUNTIF(Table1[Team],'Support Sheet'!H4)</f>
        <v>6</v>
      </c>
    </row>
    <row r="5" spans="2:11">
      <c r="B5" t="s">
        <v>9</v>
      </c>
      <c r="C5" s="1">
        <f>COUNTIF(Table1[Status],'Support Sheet'!B5)</f>
        <v>2</v>
      </c>
      <c r="E5" t="s">
        <v>26</v>
      </c>
      <c r="F5" s="1">
        <f>COUNTIF(Table1[Task Owner],'Support Sheet'!E5)</f>
        <v>1</v>
      </c>
      <c r="H5" t="s">
        <v>66</v>
      </c>
      <c r="I5" s="1">
        <f>COUNTIF(Table1[Team],'Support Sheet'!H5)</f>
        <v>4</v>
      </c>
    </row>
    <row r="6" spans="2:11">
      <c r="B6" t="s">
        <v>70</v>
      </c>
      <c r="C6" s="1">
        <f>SUM(C3:C5)</f>
        <v>15</v>
      </c>
      <c r="E6" t="s">
        <v>30</v>
      </c>
      <c r="F6" s="1">
        <f>COUNTIF(Table1[Task Owner],'Support Sheet'!E6)</f>
        <v>2</v>
      </c>
      <c r="H6" t="s">
        <v>40</v>
      </c>
      <c r="I6" s="1">
        <f>COUNTIF(Table1[Team],'Support Sheet'!H6)</f>
        <v>1</v>
      </c>
    </row>
    <row r="7" spans="2:11">
      <c r="E7" t="s">
        <v>34</v>
      </c>
      <c r="F7" s="1">
        <f>COUNTIF(Table1[Task Owner],'Support Sheet'!E7)</f>
        <v>3</v>
      </c>
      <c r="I7" s="1"/>
    </row>
    <row r="10" spans="2:11">
      <c r="E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Admin</cp:lastModifiedBy>
  <dcterms:created xsi:type="dcterms:W3CDTF">2025-09-19T00:51:58Z</dcterms:created>
  <dcterms:modified xsi:type="dcterms:W3CDTF">2026-04-28T09:07:36Z</dcterms:modified>
</cp:coreProperties>
</file>